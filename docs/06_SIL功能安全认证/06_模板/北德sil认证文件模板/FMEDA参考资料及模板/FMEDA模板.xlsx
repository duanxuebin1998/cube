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FMEDA" sheetId="2" r:id="rId1"/>
    <sheet name="失效率数据表" sheetId="7" r:id="rId2"/>
    <sheet name="WpsReserved_CellImgList" sheetId="5" state="veryHidden" r:id="rId3"/>
  </sheets>
  <definedNames>
    <definedName name="_xlnm._FilterDatabase" localSheetId="0" hidden="1">FMEDA!$B$1:$P$34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zyc</author>
    <author>tc={0353FE8D-B6B7-4B2B-BA3E-2805BA1F1409}</author>
    <author>tc={1B379FF8-F716-4D88-A87B-19C8271CB4CF}</author>
  </authors>
  <commentList>
    <comment ref="D1" authorId="0">
      <text>
        <r>
          <rPr>
            <b/>
            <sz val="9"/>
            <rFont val="宋体"/>
            <charset val="134"/>
          </rPr>
          <t>zyc:</t>
        </r>
        <r>
          <rPr>
            <sz val="9"/>
            <rFont val="宋体"/>
            <charset val="134"/>
          </rPr>
          <t xml:space="preserve">
查询SN 29500</t>
        </r>
      </text>
    </comment>
    <comment ref="E1" authorId="0">
      <text>
        <r>
          <rPr>
            <b/>
            <sz val="9"/>
            <rFont val="宋体"/>
            <charset val="134"/>
          </rPr>
          <t>zyc:</t>
        </r>
        <r>
          <rPr>
            <sz val="9"/>
            <rFont val="宋体"/>
            <charset val="134"/>
          </rPr>
          <t xml:space="preserve">
IEC61709</t>
        </r>
      </text>
    </comment>
    <comment ref="F1" authorId="0">
      <text>
        <r>
          <rPr>
            <b/>
            <sz val="9"/>
            <rFont val="宋体"/>
            <charset val="134"/>
          </rPr>
          <t>zyc:</t>
        </r>
        <r>
          <rPr>
            <sz val="9"/>
            <rFont val="宋体"/>
            <charset val="134"/>
          </rPr>
          <t xml:space="preserve">
iso61709、SN29500</t>
        </r>
      </text>
    </comment>
    <comment ref="F2" authorId="1">
      <text>
        <r>
          <rPr>
            <sz val="11"/>
            <color rgb="FF000000"/>
            <rFont val="宋体"/>
            <scheme val="minor"/>
            <charset val="0"/>
          </rPr>
          <t>[线程批注]
你的Excel版本可读取此线程批注; 但如果在更新版本的Excel中打开文件，则对批注所作的任何改动都将被删除。了解详细信息: https://go.microsoft.com/fwlink/?linkid=870924
注释:
    Siemens SN29500 故障模式库
答复:
    对于部分芯片来说，可能无法查到具体的失效模式百分比，所以按平均分来处理，假设一个芯片有四种失效模式，则其失效模式百分比分别为25%、25%、25%、25%（前提是无法查询到）</t>
        </r>
      </text>
    </comment>
    <comment ref="I2" authorId="0">
      <text>
        <r>
          <rPr>
            <b/>
            <sz val="9"/>
            <rFont val="宋体"/>
            <charset val="134"/>
          </rPr>
          <t>zyc:</t>
        </r>
        <r>
          <rPr>
            <sz val="9"/>
            <rFont val="宋体"/>
            <charset val="134"/>
          </rPr>
          <t xml:space="preserve">
失效分类：
危险失效可以理解为不可控
安全失效可简单理解可控风险
无影响即为失效后对产品无影响
</t>
        </r>
      </text>
    </comment>
    <comment ref="J2" authorId="2">
      <text>
        <r>
          <rPr>
            <sz val="11"/>
            <color rgb="FF000000"/>
            <rFont val="宋体"/>
            <scheme val="minor"/>
            <charset val="0"/>
          </rPr>
          <t>[线程批注]
你的Excel版本可读取此线程批注; 但如果在更新版本的Excel中打开文件，则对批注所作的任何改动都将被删除。了解详细信息: https://go.microsoft.com/fwlink/?linkid=870924
注释:
   ISO26262</t>
        </r>
      </text>
    </comment>
    <comment ref="K2" authorId="0">
      <text>
        <r>
          <rPr>
            <b/>
            <sz val="9"/>
            <rFont val="宋体"/>
            <charset val="134"/>
          </rPr>
          <t>zyc:</t>
        </r>
        <r>
          <rPr>
            <sz val="9"/>
            <rFont val="宋体"/>
            <charset val="134"/>
          </rPr>
          <t xml:space="preserve">
ISO26262</t>
        </r>
      </text>
    </comment>
  </commentList>
</comments>
</file>

<file path=xl/sharedStrings.xml><?xml version="1.0" encoding="utf-8"?>
<sst xmlns="http://schemas.openxmlformats.org/spreadsheetml/2006/main" count="83" uniqueCount="55">
  <si>
    <t>位号</t>
  </si>
  <si>
    <t>名称</t>
  </si>
  <si>
    <t>失效率（FITS）</t>
  </si>
  <si>
    <t>失效模式</t>
  </si>
  <si>
    <t>失效模式百分比</t>
  </si>
  <si>
    <t>模式失效率</t>
  </si>
  <si>
    <t>对系统影响</t>
  </si>
  <si>
    <t>失效分类</t>
  </si>
  <si>
    <t>使用的安全机制</t>
  </si>
  <si>
    <t>诊断覆盖率</t>
  </si>
  <si>
    <r>
      <rPr>
        <b/>
        <sz val="11"/>
        <rFont val="微软雅黑"/>
        <charset val="134"/>
      </rPr>
      <t>λ</t>
    </r>
    <r>
      <rPr>
        <b/>
        <vertAlign val="subscript"/>
        <sz val="11"/>
        <rFont val="微软雅黑"/>
        <charset val="134"/>
      </rPr>
      <t>D</t>
    </r>
  </si>
  <si>
    <t>λs</t>
  </si>
  <si>
    <r>
      <rPr>
        <b/>
        <sz val="11"/>
        <rFont val="微软雅黑"/>
        <charset val="134"/>
      </rPr>
      <t>λ</t>
    </r>
    <r>
      <rPr>
        <b/>
        <vertAlign val="subscript"/>
        <sz val="11"/>
        <rFont val="微软雅黑"/>
        <charset val="134"/>
      </rPr>
      <t>＃</t>
    </r>
  </si>
  <si>
    <r>
      <rPr>
        <b/>
        <sz val="11"/>
        <rFont val="微软雅黑"/>
        <charset val="134"/>
      </rPr>
      <t>λ</t>
    </r>
    <r>
      <rPr>
        <b/>
        <vertAlign val="subscript"/>
        <sz val="11"/>
        <rFont val="微软雅黑"/>
        <charset val="134"/>
      </rPr>
      <t>DD</t>
    </r>
  </si>
  <si>
    <r>
      <rPr>
        <b/>
        <sz val="11"/>
        <rFont val="微软雅黑"/>
        <charset val="134"/>
      </rPr>
      <t>λ</t>
    </r>
    <r>
      <rPr>
        <b/>
        <vertAlign val="subscript"/>
        <sz val="11"/>
        <rFont val="微软雅黑"/>
        <charset val="134"/>
      </rPr>
      <t>DU</t>
    </r>
  </si>
  <si>
    <t>输入电路（此部分填写模块名称，有几个模块分几个模块即可）</t>
  </si>
  <si>
    <t>D5</t>
  </si>
  <si>
    <t>二极管_DSK26</t>
  </si>
  <si>
    <t>开路</t>
  </si>
  <si>
    <t>总线输入开路，输出电流为不固定（具体分析）</t>
  </si>
  <si>
    <t>危险失效</t>
  </si>
  <si>
    <t>通过双通道输入比较，比较一致采用，比较不一致则输出安全状态</t>
  </si>
  <si>
    <t>短路</t>
  </si>
  <si>
    <t>总线输入正常，输出电流无变化，对系统状态无影响。</t>
  </si>
  <si>
    <t>无影响</t>
  </si>
  <si>
    <t>漂移</t>
  </si>
  <si>
    <t>/</t>
  </si>
  <si>
    <t>D6</t>
  </si>
  <si>
    <t>总线输入开路，输出电流为0mA。</t>
  </si>
  <si>
    <t>安全失效</t>
  </si>
  <si>
    <t>C2</t>
  </si>
  <si>
    <t>陶瓷电容_1n/2kV（计算示例）</t>
  </si>
  <si>
    <t>系统输出不固定状态</t>
  </si>
  <si>
    <t>压敏电阻XXX</t>
  </si>
  <si>
    <t>失效率数据表</t>
  </si>
  <si>
    <t>型号
Model</t>
  </si>
  <si>
    <t>危险失效率
λd（FITS）</t>
  </si>
  <si>
    <t>危险可测失效率
λdd（FITS）</t>
  </si>
  <si>
    <t>危险不可测失效率
λdu（FITS）</t>
  </si>
  <si>
    <t>安全失效率
λs（FITS）</t>
  </si>
  <si>
    <t>诊断覆盖率
DC</t>
  </si>
  <si>
    <t>安全失效分数
SFF</t>
  </si>
  <si>
    <t>系统类型
Type A or B</t>
  </si>
  <si>
    <t>SIL@HFT=0</t>
  </si>
  <si>
    <t>tCE</t>
  </si>
  <si>
    <t>PFD</t>
  </si>
  <si>
    <t>PFH</t>
  </si>
  <si>
    <t>B</t>
  </si>
  <si>
    <t>MTTR =</t>
  </si>
  <si>
    <t>hour</t>
  </si>
  <si>
    <t>MRT =</t>
  </si>
  <si>
    <t>T1 =</t>
  </si>
  <si>
    <t>We use WQS software for functional safety analysis, and the database used is as follows:</t>
  </si>
  <si>
    <t>Database of calculating model and model parameter of component failurerate, mainly referring to Siemens SN29500 fault mode library.</t>
  </si>
  <si>
    <t>Siemens SN29500:Used to determine the failure rate.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</si>
</sst>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0.000_ "/>
    <numFmt numFmtId="178" formatCode="0_ "/>
    <numFmt numFmtId="179" formatCode="0.000E+00"/>
    <numFmt numFmtId="180" formatCode="#,##0.00_ "/>
  </numFmts>
  <fonts count="3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22"/>
      <name val="宋体"/>
      <charset val="134"/>
    </font>
    <font>
      <sz val="12"/>
      <name val="Times New Roman"/>
      <charset val="134"/>
    </font>
    <font>
      <b/>
      <sz val="12"/>
      <name val="Times New Roman"/>
      <charset val="134"/>
    </font>
    <font>
      <b/>
      <sz val="11"/>
      <name val="微软雅黑"/>
      <charset val="134"/>
    </font>
    <font>
      <sz val="12"/>
      <color rgb="FFFF0000"/>
      <name val="宋体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  <font>
      <sz val="11"/>
      <color rgb="FF0000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176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177" fontId="1" fillId="0" borderId="1" xfId="0" applyNumberFormat="1" applyFont="1" applyBorder="1">
      <alignment vertical="center"/>
    </xf>
    <xf numFmtId="10" fontId="1" fillId="0" borderId="1" xfId="0" applyNumberFormat="1" applyFont="1" applyBorder="1">
      <alignment vertical="center"/>
    </xf>
    <xf numFmtId="178" fontId="1" fillId="0" borderId="1" xfId="0" applyNumberFormat="1" applyFont="1" applyBorder="1">
      <alignment vertical="center"/>
    </xf>
    <xf numFmtId="177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80" fontId="7" fillId="0" borderId="1" xfId="0" applyNumberFormat="1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center" wrapText="1"/>
    </xf>
    <xf numFmtId="11" fontId="7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10" fontId="7" fillId="0" borderId="0" xfId="0" applyNumberFormat="1" applyFont="1" applyAlignment="1">
      <alignment horizontal="center" vertical="center" wrapText="1"/>
    </xf>
    <xf numFmtId="180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346075</xdr:colOff>
      <xdr:row>1</xdr:row>
      <xdr:rowOff>323215</xdr:rowOff>
    </xdr:from>
    <xdr:to>
      <xdr:col>16</xdr:col>
      <xdr:colOff>196850</xdr:colOff>
      <xdr:row>1</xdr:row>
      <xdr:rowOff>1012825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90025" y="666115"/>
          <a:ext cx="2593975" cy="4006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IL@HFT=0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"/>
  <sheetViews>
    <sheetView workbookViewId="0">
      <pane ySplit="1" topLeftCell="A2" activePane="bottomLeft" state="frozen"/>
      <selection/>
      <selection pane="bottomLeft" activeCell="E18" sqref="E18"/>
    </sheetView>
  </sheetViews>
  <sheetFormatPr defaultColWidth="9" defaultRowHeight="14.25"/>
  <cols>
    <col min="1" max="1" width="9" style="12"/>
    <col min="2" max="2" width="9.875" style="12" customWidth="1"/>
    <col min="3" max="3" width="19.625" style="12" customWidth="1"/>
    <col min="4" max="4" width="18" style="12" customWidth="1"/>
    <col min="5" max="5" width="16" style="12" customWidth="1"/>
    <col min="6" max="6" width="14.25" style="12" customWidth="1"/>
    <col min="7" max="7" width="13.25" style="12" customWidth="1"/>
    <col min="8" max="8" width="48.75" style="13" customWidth="1"/>
    <col min="9" max="9" width="18.625" style="12" customWidth="1"/>
    <col min="10" max="10" width="37.375" style="12" customWidth="1"/>
    <col min="11" max="11" width="14.125" style="14" customWidth="1"/>
    <col min="12" max="12" width="12" style="14" customWidth="1"/>
    <col min="13" max="13" width="13.125" style="14" customWidth="1"/>
    <col min="14" max="14" width="12" style="14" customWidth="1"/>
    <col min="15" max="16" width="13.125" style="14" customWidth="1"/>
    <col min="17" max="16384" width="9" style="12"/>
  </cols>
  <sheetData>
    <row r="1" s="11" customFormat="1" ht="22.5" customHeight="1" spans="1:16"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6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</row>
    <row r="2" ht="33" customHeight="1" spans="1:16">
      <c r="A2" s="17" t="s">
        <v>15</v>
      </c>
      <c r="B2" s="18" t="s">
        <v>16</v>
      </c>
      <c r="C2" s="18" t="s">
        <v>17</v>
      </c>
      <c r="D2" s="19">
        <v>0.64</v>
      </c>
      <c r="E2" s="18" t="s">
        <v>18</v>
      </c>
      <c r="F2" s="20">
        <v>0.2</v>
      </c>
      <c r="G2" s="19">
        <f>D2*F2</f>
        <v>0.128</v>
      </c>
      <c r="H2" s="21" t="s">
        <v>19</v>
      </c>
      <c r="I2" s="18" t="s">
        <v>20</v>
      </c>
      <c r="J2" s="22" t="s">
        <v>21</v>
      </c>
      <c r="K2" s="23">
        <v>0.99</v>
      </c>
      <c r="L2" s="18"/>
      <c r="M2" s="18"/>
      <c r="N2" s="18"/>
      <c r="O2" s="18">
        <f>K2*G2</f>
        <v>0.12672</v>
      </c>
      <c r="P2" s="18">
        <f>G2*(1-K2)</f>
        <v>0.00128</v>
      </c>
    </row>
    <row r="3" ht="32.1" customHeight="1" spans="1:16">
      <c r="A3" s="24"/>
      <c r="B3" s="18"/>
      <c r="C3" s="18"/>
      <c r="D3" s="19">
        <v>0.64</v>
      </c>
      <c r="E3" s="18" t="s">
        <v>22</v>
      </c>
      <c r="F3" s="20">
        <v>0.8</v>
      </c>
      <c r="G3" s="19">
        <f>D3*F3</f>
        <v>0.512</v>
      </c>
      <c r="H3" s="23" t="s">
        <v>23</v>
      </c>
      <c r="I3" s="18" t="s">
        <v>24</v>
      </c>
      <c r="J3" s="18"/>
      <c r="K3" s="18"/>
      <c r="L3" s="18"/>
      <c r="M3" s="18"/>
      <c r="N3" s="18">
        <v>0.512</v>
      </c>
      <c r="O3" s="18"/>
      <c r="P3" s="18"/>
    </row>
    <row r="4" ht="22.5" customHeight="1" spans="1:16">
      <c r="A4" s="24"/>
      <c r="B4" s="18"/>
      <c r="C4" s="18"/>
      <c r="D4" s="19">
        <v>0.64</v>
      </c>
      <c r="E4" s="18" t="s">
        <v>25</v>
      </c>
      <c r="F4" s="20" t="s">
        <v>26</v>
      </c>
      <c r="G4" s="19"/>
      <c r="H4" s="18"/>
      <c r="I4" s="20" t="s">
        <v>26</v>
      </c>
      <c r="J4" s="20"/>
      <c r="K4" s="18"/>
      <c r="L4" s="18"/>
      <c r="M4" s="18"/>
      <c r="N4" s="18"/>
      <c r="O4" s="18"/>
      <c r="P4" s="18"/>
    </row>
    <row r="5" ht="33" customHeight="1" spans="1:16">
      <c r="A5" s="24"/>
      <c r="B5" s="18" t="s">
        <v>27</v>
      </c>
      <c r="C5" s="18" t="s">
        <v>17</v>
      </c>
      <c r="D5" s="19">
        <v>0.64</v>
      </c>
      <c r="E5" s="18" t="s">
        <v>18</v>
      </c>
      <c r="F5" s="20">
        <v>0.2</v>
      </c>
      <c r="G5" s="19">
        <f>D5*F5</f>
        <v>0.128</v>
      </c>
      <c r="H5" s="23" t="s">
        <v>28</v>
      </c>
      <c r="I5" s="18" t="s">
        <v>29</v>
      </c>
      <c r="J5" s="18"/>
      <c r="K5" s="23"/>
      <c r="L5" s="18"/>
      <c r="M5" s="18">
        <f>G5</f>
        <v>0.128</v>
      </c>
      <c r="N5" s="18"/>
      <c r="O5" s="18"/>
      <c r="P5" s="18"/>
    </row>
    <row r="6" ht="35.1" customHeight="1" spans="1:16">
      <c r="A6" s="24"/>
      <c r="B6" s="18"/>
      <c r="C6" s="18"/>
      <c r="D6" s="19">
        <v>0.64</v>
      </c>
      <c r="E6" s="18" t="s">
        <v>22</v>
      </c>
      <c r="F6" s="20">
        <v>0.8</v>
      </c>
      <c r="G6" s="19">
        <f t="shared" ref="G6:G11" si="0">D6*F6</f>
        <v>0.512</v>
      </c>
      <c r="H6" s="23" t="s">
        <v>23</v>
      </c>
      <c r="I6" s="18" t="s">
        <v>24</v>
      </c>
      <c r="J6" s="18"/>
      <c r="K6" s="18"/>
      <c r="L6" s="18"/>
      <c r="M6" s="18"/>
      <c r="N6" s="18">
        <v>0.512</v>
      </c>
      <c r="O6" s="18"/>
      <c r="P6" s="18"/>
    </row>
    <row r="7" ht="22.5" customHeight="1" spans="1:16">
      <c r="A7" s="24"/>
      <c r="B7" s="18"/>
      <c r="C7" s="18"/>
      <c r="D7" s="19">
        <v>0.64</v>
      </c>
      <c r="E7" s="18" t="s">
        <v>25</v>
      </c>
      <c r="F7" s="20" t="s">
        <v>26</v>
      </c>
      <c r="G7" s="19"/>
      <c r="H7" s="18"/>
      <c r="I7" s="20" t="s">
        <v>26</v>
      </c>
      <c r="J7" s="20"/>
      <c r="K7" s="18"/>
      <c r="L7" s="18"/>
      <c r="M7" s="18"/>
      <c r="N7" s="18"/>
      <c r="O7" s="18"/>
      <c r="P7" s="18"/>
    </row>
    <row r="8" ht="33" customHeight="1" spans="1:16">
      <c r="A8" s="24"/>
      <c r="B8" s="18" t="s">
        <v>30</v>
      </c>
      <c r="C8" s="25" t="s">
        <v>31</v>
      </c>
      <c r="D8" s="19">
        <v>0.6</v>
      </c>
      <c r="E8" s="18" t="s">
        <v>18</v>
      </c>
      <c r="F8" s="20">
        <v>0.1</v>
      </c>
      <c r="G8" s="19">
        <f t="shared" si="0"/>
        <v>0.06</v>
      </c>
      <c r="H8" s="23" t="s">
        <v>23</v>
      </c>
      <c r="I8" s="18" t="s">
        <v>24</v>
      </c>
      <c r="J8" s="18"/>
      <c r="K8" s="18"/>
      <c r="L8" s="18"/>
      <c r="M8" s="18"/>
      <c r="N8" s="18">
        <v>0.04</v>
      </c>
      <c r="O8" s="18"/>
      <c r="P8" s="18"/>
    </row>
    <row r="9" ht="33" customHeight="1" spans="1:16">
      <c r="A9" s="24"/>
      <c r="B9" s="18"/>
      <c r="C9" s="18"/>
      <c r="D9" s="19">
        <v>0.6</v>
      </c>
      <c r="E9" s="18" t="s">
        <v>22</v>
      </c>
      <c r="F9" s="20">
        <v>0.9</v>
      </c>
      <c r="G9" s="19">
        <f t="shared" si="0"/>
        <v>0.54</v>
      </c>
      <c r="H9" s="23" t="s">
        <v>32</v>
      </c>
      <c r="I9" s="18" t="s">
        <v>20</v>
      </c>
      <c r="J9" s="18"/>
      <c r="K9" s="23"/>
      <c r="L9" s="18"/>
      <c r="M9" s="18"/>
      <c r="N9" s="18"/>
      <c r="O9" s="18"/>
      <c r="P9" s="19">
        <f>G9</f>
        <v>0.54</v>
      </c>
    </row>
    <row r="10" ht="22.5" customHeight="1" spans="1:16">
      <c r="A10" s="26"/>
      <c r="B10" s="18"/>
      <c r="C10" s="18"/>
      <c r="D10" s="19">
        <v>0.6</v>
      </c>
      <c r="E10" s="18" t="s">
        <v>25</v>
      </c>
      <c r="F10" s="20" t="s">
        <v>26</v>
      </c>
      <c r="G10" s="19"/>
      <c r="H10" s="18"/>
      <c r="I10" s="20" t="s">
        <v>26</v>
      </c>
      <c r="J10" s="20"/>
      <c r="K10" s="18"/>
      <c r="L10" s="18"/>
      <c r="M10" s="18"/>
      <c r="N10" s="18"/>
      <c r="O10" s="18"/>
      <c r="P10" s="18"/>
    </row>
    <row r="11" ht="33" customHeight="1" spans="1:16">
      <c r="A11" s="3"/>
      <c r="B11" s="27"/>
      <c r="C11" s="18" t="s">
        <v>33</v>
      </c>
      <c r="D11" s="19">
        <v>1</v>
      </c>
      <c r="E11" s="18" t="s">
        <v>18</v>
      </c>
      <c r="F11" s="20">
        <v>0.8</v>
      </c>
      <c r="G11" s="19">
        <f t="shared" si="0"/>
        <v>0.8</v>
      </c>
      <c r="H11" s="23" t="s">
        <v>23</v>
      </c>
      <c r="I11" s="18" t="s">
        <v>24</v>
      </c>
      <c r="J11" s="18"/>
      <c r="K11" s="18"/>
      <c r="L11" s="18"/>
      <c r="M11" s="18"/>
      <c r="N11" s="18">
        <v>0.8</v>
      </c>
      <c r="O11" s="18"/>
      <c r="P11" s="18"/>
    </row>
    <row r="12" ht="24" customHeight="1" spans="1:16">
      <c r="A12" s="3"/>
      <c r="B12" s="28"/>
      <c r="C12" s="18"/>
      <c r="D12" s="19">
        <v>1</v>
      </c>
      <c r="E12" s="18" t="s">
        <v>22</v>
      </c>
      <c r="F12" s="20" t="s">
        <v>26</v>
      </c>
      <c r="G12" s="19"/>
      <c r="H12" s="23"/>
      <c r="I12" s="20" t="s">
        <v>26</v>
      </c>
      <c r="J12" s="20"/>
      <c r="K12" s="18"/>
      <c r="L12" s="18"/>
      <c r="M12" s="18"/>
      <c r="N12" s="18"/>
      <c r="O12" s="18"/>
      <c r="P12" s="18"/>
    </row>
    <row r="13" ht="33.95" customHeight="1" spans="1:16">
      <c r="A13" s="3"/>
      <c r="B13" s="29"/>
      <c r="C13" s="18"/>
      <c r="D13" s="19">
        <v>1</v>
      </c>
      <c r="E13" s="18" t="s">
        <v>25</v>
      </c>
      <c r="F13" s="20">
        <v>0.2</v>
      </c>
      <c r="G13" s="19">
        <f>D13*F13</f>
        <v>0.2</v>
      </c>
      <c r="H13" s="23" t="s">
        <v>23</v>
      </c>
      <c r="I13" s="18" t="s">
        <v>24</v>
      </c>
      <c r="J13" s="18"/>
      <c r="K13" s="18"/>
      <c r="L13" s="18"/>
      <c r="M13" s="18"/>
      <c r="N13" s="18">
        <v>0.2</v>
      </c>
      <c r="O13" s="18"/>
      <c r="P13" s="18"/>
    </row>
    <row r="14" ht="33" customHeight="1" spans="1:16">
      <c r="A14" s="3"/>
      <c r="B14" s="27"/>
      <c r="C14" s="27"/>
      <c r="D14" s="19"/>
      <c r="E14" s="18"/>
      <c r="F14" s="20"/>
      <c r="G14" s="19"/>
      <c r="H14" s="23"/>
      <c r="I14" s="18"/>
      <c r="J14" s="18"/>
      <c r="K14" s="18"/>
      <c r="L14" s="18"/>
      <c r="M14" s="18"/>
      <c r="N14" s="18"/>
      <c r="O14" s="18"/>
      <c r="P14" s="18"/>
    </row>
    <row r="15" ht="22.5" customHeight="1" spans="1:16">
      <c r="A15" s="3"/>
      <c r="B15" s="28"/>
      <c r="C15" s="28"/>
      <c r="D15" s="19"/>
      <c r="E15" s="18"/>
      <c r="F15" s="20"/>
      <c r="G15" s="19"/>
      <c r="H15" s="23"/>
      <c r="I15" s="18"/>
      <c r="J15" s="18"/>
      <c r="K15" s="18"/>
      <c r="L15" s="18"/>
      <c r="M15" s="18"/>
      <c r="N15" s="3"/>
      <c r="O15" s="18"/>
      <c r="P15" s="18"/>
    </row>
    <row r="16" ht="22.5" customHeight="1" spans="1:16">
      <c r="A16" s="3"/>
      <c r="B16" s="29"/>
      <c r="C16" s="29"/>
      <c r="D16" s="19"/>
      <c r="E16" s="18"/>
      <c r="F16" s="20"/>
      <c r="G16" s="19"/>
      <c r="H16" s="18"/>
      <c r="I16" s="20"/>
      <c r="J16" s="20"/>
      <c r="K16" s="18"/>
      <c r="L16" s="18"/>
      <c r="M16" s="18"/>
      <c r="N16" s="18"/>
      <c r="O16" s="18"/>
      <c r="P16" s="18"/>
    </row>
    <row r="17" ht="33" customHeight="1" spans="1:16">
      <c r="A17" s="3"/>
      <c r="B17" s="27"/>
      <c r="C17" s="27"/>
      <c r="D17" s="19"/>
      <c r="E17" s="18"/>
      <c r="F17" s="20"/>
      <c r="G17" s="19"/>
      <c r="H17" s="23"/>
      <c r="I17" s="18"/>
      <c r="J17" s="18"/>
      <c r="K17" s="18"/>
      <c r="L17" s="18"/>
      <c r="M17" s="18"/>
      <c r="N17" s="18"/>
      <c r="O17" s="18"/>
      <c r="P17" s="18"/>
    </row>
    <row r="18" ht="22.5" customHeight="1" spans="1:16">
      <c r="A18" s="3"/>
      <c r="B18" s="28"/>
      <c r="C18" s="28"/>
      <c r="D18" s="19"/>
      <c r="E18" s="18"/>
      <c r="F18" s="20"/>
      <c r="G18" s="19"/>
      <c r="H18" s="23"/>
      <c r="I18" s="18"/>
      <c r="J18" s="18"/>
      <c r="K18" s="18"/>
      <c r="L18" s="18"/>
      <c r="M18" s="18"/>
      <c r="N18" s="3"/>
      <c r="O18" s="18"/>
      <c r="P18" s="18"/>
    </row>
    <row r="19" ht="22.5" customHeight="1" spans="1:16">
      <c r="A19" s="3"/>
      <c r="B19" s="29"/>
      <c r="C19" s="29"/>
      <c r="D19" s="19"/>
      <c r="E19" s="18"/>
      <c r="F19" s="20"/>
      <c r="G19" s="19"/>
      <c r="H19" s="18"/>
      <c r="I19" s="20"/>
      <c r="J19" s="20"/>
      <c r="K19" s="18"/>
      <c r="L19" s="18"/>
      <c r="M19" s="18"/>
      <c r="N19" s="18"/>
      <c r="O19" s="18"/>
      <c r="P19" s="18"/>
    </row>
    <row r="20" ht="33" customHeight="1" spans="1:16">
      <c r="A20" s="3"/>
      <c r="B20" s="27"/>
      <c r="C20" s="27"/>
      <c r="D20" s="19"/>
      <c r="E20" s="18"/>
      <c r="F20" s="20"/>
      <c r="G20" s="19"/>
      <c r="H20" s="23"/>
      <c r="I20" s="18"/>
      <c r="J20" s="18"/>
      <c r="K20" s="23"/>
      <c r="L20" s="18"/>
      <c r="M20" s="18"/>
      <c r="N20" s="18"/>
      <c r="O20" s="18"/>
      <c r="P20" s="18"/>
    </row>
    <row r="21" ht="22.5" customHeight="1" spans="1:16">
      <c r="A21" s="3"/>
      <c r="B21" s="28"/>
      <c r="C21" s="28"/>
      <c r="D21" s="19"/>
      <c r="E21" s="18"/>
      <c r="F21" s="20"/>
      <c r="G21" s="19"/>
      <c r="H21" s="23"/>
      <c r="I21" s="18"/>
      <c r="J21" s="18"/>
      <c r="K21" s="18"/>
      <c r="L21" s="18"/>
      <c r="M21" s="18"/>
      <c r="N21" s="18"/>
      <c r="O21" s="18"/>
      <c r="P21" s="18"/>
    </row>
    <row r="22" ht="22.5" customHeight="1" spans="1:16">
      <c r="A22" s="3"/>
      <c r="B22" s="29"/>
      <c r="C22" s="29"/>
      <c r="D22" s="19"/>
      <c r="E22" s="18"/>
      <c r="F22" s="20"/>
      <c r="G22" s="19"/>
      <c r="H22" s="18"/>
      <c r="I22" s="20"/>
      <c r="J22" s="20"/>
      <c r="K22" s="18"/>
      <c r="L22" s="18"/>
      <c r="M22" s="18"/>
      <c r="N22" s="18"/>
      <c r="O22" s="18"/>
      <c r="P22" s="18"/>
    </row>
    <row r="23" ht="33" customHeight="1" spans="1:16">
      <c r="A23" s="3"/>
      <c r="B23" s="27"/>
      <c r="C23" s="27"/>
      <c r="D23" s="19"/>
      <c r="E23" s="18"/>
      <c r="F23" s="20"/>
      <c r="G23" s="19"/>
      <c r="H23" s="23"/>
      <c r="I23" s="18"/>
      <c r="J23" s="18"/>
      <c r="K23" s="23"/>
      <c r="L23" s="18"/>
      <c r="M23" s="18"/>
      <c r="N23" s="18"/>
      <c r="O23" s="18"/>
      <c r="P23" s="18"/>
    </row>
    <row r="24" ht="22.5" customHeight="1" spans="1:16">
      <c r="A24" s="3"/>
      <c r="B24" s="28"/>
      <c r="C24" s="28"/>
      <c r="D24" s="19"/>
      <c r="E24" s="20"/>
      <c r="F24" s="20"/>
      <c r="G24" s="19"/>
      <c r="H24" s="23"/>
      <c r="I24" s="18"/>
      <c r="J24" s="18"/>
      <c r="K24" s="18"/>
      <c r="L24" s="18"/>
      <c r="M24" s="18"/>
      <c r="N24" s="18"/>
      <c r="O24" s="18"/>
      <c r="P24" s="19"/>
    </row>
    <row r="25" ht="22.5" customHeight="1" spans="1:16">
      <c r="A25" s="3"/>
      <c r="B25" s="29"/>
      <c r="C25" s="29"/>
      <c r="D25" s="19"/>
      <c r="E25" s="18"/>
      <c r="F25" s="20"/>
      <c r="G25" s="19"/>
      <c r="H25" s="18"/>
      <c r="I25" s="20"/>
      <c r="J25" s="20"/>
      <c r="K25" s="18"/>
      <c r="L25" s="18"/>
      <c r="M25" s="18"/>
      <c r="N25" s="18"/>
      <c r="O25" s="18"/>
      <c r="P25" s="18"/>
    </row>
    <row r="26" ht="33" customHeight="1" spans="1:16">
      <c r="A26" s="3"/>
      <c r="B26" s="27"/>
      <c r="C26" s="27"/>
      <c r="D26" s="19"/>
      <c r="E26" s="18"/>
      <c r="F26" s="20"/>
      <c r="G26" s="19"/>
      <c r="H26" s="23"/>
      <c r="I26" s="18"/>
      <c r="J26" s="18"/>
      <c r="K26" s="23"/>
      <c r="L26" s="18"/>
      <c r="M26" s="18"/>
      <c r="N26" s="18"/>
      <c r="O26" s="18"/>
      <c r="P26" s="18"/>
    </row>
    <row r="27" ht="22.5" customHeight="1" spans="1:16">
      <c r="A27" s="3"/>
      <c r="B27" s="28"/>
      <c r="C27" s="28"/>
      <c r="D27" s="19"/>
      <c r="E27" s="18"/>
      <c r="F27" s="20"/>
      <c r="G27" s="19"/>
      <c r="H27" s="23"/>
      <c r="I27" s="18"/>
      <c r="J27" s="18"/>
      <c r="K27" s="18"/>
      <c r="L27" s="18"/>
      <c r="M27" s="18"/>
      <c r="N27" s="18"/>
      <c r="O27" s="18"/>
      <c r="P27" s="18"/>
    </row>
    <row r="28" ht="22.5" customHeight="1" spans="1:16">
      <c r="A28" s="3"/>
      <c r="B28" s="29"/>
      <c r="C28" s="29"/>
      <c r="D28" s="19"/>
      <c r="E28" s="18"/>
      <c r="F28" s="20"/>
      <c r="G28" s="19"/>
      <c r="H28" s="18"/>
      <c r="I28" s="20"/>
      <c r="J28" s="20"/>
      <c r="K28" s="18"/>
      <c r="L28" s="18"/>
      <c r="M28" s="18"/>
      <c r="N28" s="18"/>
      <c r="O28" s="18"/>
      <c r="P28" s="18"/>
    </row>
    <row r="29" ht="33" customHeight="1" spans="1:16">
      <c r="A29" s="3"/>
      <c r="B29" s="27"/>
      <c r="C29" s="27"/>
      <c r="D29" s="19"/>
      <c r="E29" s="18"/>
      <c r="F29" s="20"/>
      <c r="G29" s="19"/>
      <c r="H29" s="23"/>
      <c r="I29" s="18"/>
      <c r="J29" s="18"/>
      <c r="K29" s="23"/>
      <c r="L29" s="18"/>
      <c r="M29" s="18"/>
      <c r="N29" s="18"/>
      <c r="O29" s="18"/>
      <c r="P29" s="18"/>
    </row>
    <row r="30" ht="22.5" customHeight="1" spans="1:16">
      <c r="A30" s="3"/>
      <c r="B30" s="28"/>
      <c r="C30" s="28"/>
      <c r="D30" s="19"/>
      <c r="E30" s="18"/>
      <c r="F30" s="20"/>
      <c r="G30" s="19"/>
      <c r="H30" s="23"/>
      <c r="I30" s="18"/>
      <c r="J30" s="18"/>
      <c r="K30" s="18"/>
      <c r="L30" s="18"/>
      <c r="M30" s="18"/>
      <c r="N30" s="18"/>
      <c r="O30" s="18"/>
      <c r="P30" s="18"/>
    </row>
    <row r="31" ht="22.5" customHeight="1" spans="1:16">
      <c r="A31" s="3"/>
      <c r="B31" s="29"/>
      <c r="C31" s="29"/>
      <c r="D31" s="19"/>
      <c r="E31" s="18"/>
      <c r="F31" s="20"/>
      <c r="G31" s="19"/>
      <c r="H31" s="18"/>
      <c r="I31" s="20"/>
      <c r="J31" s="20"/>
      <c r="K31" s="18"/>
      <c r="L31" s="18"/>
      <c r="M31" s="18"/>
      <c r="N31" s="18"/>
      <c r="O31" s="18"/>
      <c r="P31" s="18"/>
    </row>
    <row r="32" ht="33" customHeight="1" spans="1:16">
      <c r="A32" s="3"/>
      <c r="B32" s="27"/>
      <c r="C32" s="27"/>
      <c r="D32" s="19"/>
      <c r="E32" s="18"/>
      <c r="F32" s="20"/>
      <c r="G32" s="19"/>
      <c r="H32" s="23"/>
      <c r="I32" s="18"/>
      <c r="J32" s="18"/>
      <c r="K32" s="18"/>
      <c r="L32" s="18"/>
      <c r="M32" s="18"/>
      <c r="N32" s="18"/>
      <c r="O32" s="18"/>
      <c r="P32" s="18"/>
    </row>
    <row r="33" ht="22.5" customHeight="1" spans="1:16">
      <c r="A33" s="3"/>
      <c r="B33" s="28"/>
      <c r="C33" s="28"/>
      <c r="D33" s="19"/>
      <c r="E33" s="18"/>
      <c r="F33" s="20"/>
      <c r="G33" s="19"/>
      <c r="H33" s="23"/>
      <c r="I33" s="18"/>
      <c r="J33" s="18"/>
      <c r="K33" s="23"/>
      <c r="L33" s="18"/>
      <c r="M33" s="18"/>
      <c r="N33" s="18"/>
      <c r="O33" s="18"/>
      <c r="P33" s="18"/>
    </row>
    <row r="34" ht="22.5" customHeight="1" spans="1:16">
      <c r="A34" s="3"/>
      <c r="B34" s="29"/>
      <c r="C34" s="29"/>
      <c r="D34" s="19"/>
      <c r="E34" s="18"/>
      <c r="F34" s="20"/>
      <c r="G34" s="19"/>
      <c r="H34" s="18"/>
      <c r="I34" s="20"/>
      <c r="J34" s="20"/>
      <c r="K34" s="18"/>
      <c r="L34" s="18"/>
      <c r="M34" s="18"/>
      <c r="N34" s="18"/>
      <c r="O34" s="18"/>
      <c r="P34" s="18"/>
    </row>
    <row r="35" ht="59.25" customHeight="1" spans="1:16">
      <c r="B35" s="13"/>
      <c r="C35" s="13"/>
      <c r="D35" s="30"/>
      <c r="E35" s="13"/>
      <c r="F35" s="13"/>
      <c r="G35" s="13"/>
      <c r="I35" s="13"/>
      <c r="J35" s="13"/>
      <c r="K35" s="13"/>
      <c r="L35" s="13"/>
      <c r="M35" s="13"/>
      <c r="N35" s="13"/>
      <c r="O35" s="13"/>
      <c r="P35" s="13"/>
    </row>
    <row r="36" ht="31.35" customHeight="1" spans="1:16">
      <c r="B36" s="31"/>
      <c r="C36" s="32"/>
      <c r="D36" s="33"/>
      <c r="E36" s="31"/>
      <c r="F36" s="34"/>
      <c r="G36" s="35"/>
      <c r="H36" s="36"/>
      <c r="I36" s="31"/>
      <c r="J36" s="31"/>
      <c r="K36" s="31"/>
      <c r="L36" s="31"/>
      <c r="M36" s="31"/>
      <c r="N36" s="31"/>
      <c r="O36" s="31"/>
      <c r="P36" s="31"/>
    </row>
    <row r="37" spans="1:16">
      <c r="B37" s="13"/>
      <c r="C37" s="13"/>
      <c r="D37" s="33"/>
      <c r="E37" s="13"/>
      <c r="F37" s="13"/>
      <c r="G37" s="13"/>
      <c r="I37" s="13"/>
      <c r="J37" s="13"/>
      <c r="K37" s="13"/>
      <c r="L37" s="13"/>
      <c r="M37" s="13"/>
      <c r="N37" s="13"/>
      <c r="O37" s="13"/>
      <c r="P37" s="13"/>
    </row>
    <row r="38" spans="1:16">
      <c r="B38" s="13"/>
      <c r="C38" s="13"/>
      <c r="D38" s="33"/>
      <c r="E38" s="13"/>
      <c r="F38" s="13"/>
      <c r="G38" s="13"/>
      <c r="I38" s="13"/>
      <c r="J38" s="13"/>
      <c r="K38" s="13"/>
      <c r="L38" s="13"/>
      <c r="M38" s="13"/>
      <c r="N38" s="13"/>
      <c r="O38" s="13"/>
      <c r="P38" s="13"/>
    </row>
    <row r="39" spans="1:16">
      <c r="B39" s="33"/>
      <c r="C39" s="37"/>
      <c r="D39" s="33"/>
      <c r="E39" s="37"/>
      <c r="F39" s="13"/>
      <c r="G39" s="13"/>
      <c r="I39" s="13"/>
      <c r="J39" s="13"/>
      <c r="K39" s="13"/>
      <c r="L39" s="13"/>
      <c r="M39" s="13"/>
      <c r="N39" s="13"/>
      <c r="O39" s="13"/>
      <c r="P39" s="13"/>
    </row>
    <row r="40" ht="15.95" customHeight="1" spans="1:16">
      <c r="B40" s="38"/>
      <c r="C40" s="38"/>
      <c r="D40" s="33"/>
      <c r="E40" s="37"/>
      <c r="F40" s="13"/>
      <c r="G40" s="13"/>
      <c r="I40" s="13"/>
      <c r="J40" s="13"/>
      <c r="K40" s="13"/>
      <c r="L40" s="13"/>
      <c r="M40" s="13"/>
      <c r="N40" s="13"/>
      <c r="O40" s="13"/>
      <c r="P40" s="13"/>
    </row>
    <row r="41" spans="1:16">
      <c r="B41" s="13"/>
      <c r="C41" s="13"/>
      <c r="D41" s="33"/>
      <c r="E41" s="13"/>
      <c r="F41" s="13"/>
      <c r="G41" s="13"/>
      <c r="I41" s="13"/>
      <c r="J41" s="13"/>
      <c r="K41" s="13"/>
      <c r="L41" s="13"/>
      <c r="M41" s="13"/>
      <c r="N41" s="13"/>
      <c r="O41" s="13"/>
      <c r="P41" s="13"/>
    </row>
    <row r="42" spans="1:16">
      <c r="D42" s="33"/>
    </row>
    <row r="43" spans="1:16">
      <c r="D43" s="33"/>
    </row>
    <row r="44" spans="1:16">
      <c r="D44" s="33"/>
    </row>
    <row r="45" spans="1:16">
      <c r="D45" s="33"/>
    </row>
    <row r="46" spans="1:16">
      <c r="D46" s="33"/>
    </row>
    <row r="47" spans="1:16">
      <c r="D47" s="33"/>
    </row>
    <row r="48" spans="1:16">
      <c r="D48" s="33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B1:P34" etc:filterBottomFollowUsedRange="0">
    <extLst/>
  </autoFilter>
  <mergeCells count="24">
    <mergeCell ref="A2:A10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D35:D48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topLeftCell="A2" workbookViewId="0">
      <selection activeCell="H20" sqref="H20"/>
    </sheetView>
  </sheetViews>
  <sheetFormatPr defaultColWidth="9" defaultRowHeight="14.25"/>
  <cols>
    <col min="1" max="1" width="6.75" style="1" customWidth="1"/>
    <col min="2" max="2" width="9.25" style="1" customWidth="1"/>
    <col min="3" max="3" width="9.75" style="1" customWidth="1"/>
    <col min="4" max="4" width="10.5" style="1"/>
    <col min="5" max="5" width="12.375" style="1" customWidth="1"/>
    <col min="6" max="6" width="10.5" style="1" customWidth="1"/>
    <col min="7" max="7" width="9.625" style="1" customWidth="1"/>
    <col min="8" max="8" width="9.375" style="1" customWidth="1"/>
    <col min="9" max="9" width="7.375" style="1" customWidth="1"/>
    <col min="10" max="10" width="10" style="1" customWidth="1"/>
    <col min="11" max="11" width="9.5" style="1" customWidth="1"/>
    <col min="12" max="12" width="9.75" style="1" customWidth="1"/>
    <col min="13" max="16384" width="9" style="1"/>
  </cols>
  <sheetData>
    <row r="1" ht="27" spans="1:12">
      <c r="A1" s="2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57" spans="1:12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4" t="s">
        <v>44</v>
      </c>
      <c r="K2" s="4" t="s">
        <v>45</v>
      </c>
      <c r="L2" s="4" t="s">
        <v>46</v>
      </c>
    </row>
    <row r="3" ht="15.75" spans="1:12">
      <c r="A3" s="4"/>
      <c r="B3" s="5" t="e">
        <f>FMEDA!#REF!</f>
        <v>#REF!</v>
      </c>
      <c r="C3" s="5" t="e">
        <f>FMEDA!#REF!</f>
        <v>#REF!</v>
      </c>
      <c r="D3" s="5" t="e">
        <f>FMEDA!#REF!</f>
        <v>#REF!</v>
      </c>
      <c r="E3" s="1" t="e">
        <f>FMEDA!#REF!</f>
        <v>#REF!</v>
      </c>
      <c r="F3" s="6" t="e">
        <f>C3/B3</f>
        <v>#REF!</v>
      </c>
      <c r="G3" s="6" t="e">
        <f>(E3+C3)/(E3+B3)</f>
        <v>#REF!</v>
      </c>
      <c r="H3" s="5" t="s">
        <v>47</v>
      </c>
      <c r="I3" s="7">
        <v>0</v>
      </c>
      <c r="J3" s="8" t="e">
        <f>D3/B3*(B8/2+B7)+C3/B3*B6</f>
        <v>#REF!</v>
      </c>
      <c r="K3" s="9" t="e">
        <f>B3*J3*0.000000001</f>
        <v>#REF!</v>
      </c>
      <c r="L3" s="9" t="e">
        <f>D3*0.000000001</f>
        <v>#REF!</v>
      </c>
    </row>
    <row r="4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>
      <c r="A6" s="4" t="s">
        <v>48</v>
      </c>
      <c r="B6" s="4">
        <v>24</v>
      </c>
      <c r="C6" s="4" t="s">
        <v>49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 s="4" t="s">
        <v>50</v>
      </c>
      <c r="B7" s="4">
        <v>24</v>
      </c>
      <c r="C7" s="4" t="s">
        <v>49</v>
      </c>
      <c r="D7" s="4"/>
      <c r="E7" s="4"/>
      <c r="F7" s="4"/>
      <c r="G7" s="4"/>
      <c r="H7" s="4"/>
      <c r="I7" s="4"/>
      <c r="J7" s="4"/>
      <c r="K7" s="4"/>
      <c r="L7" s="4"/>
    </row>
    <row r="8" spans="1:12">
      <c r="A8" s="4" t="s">
        <v>51</v>
      </c>
      <c r="B8" s="4">
        <v>8760</v>
      </c>
      <c r="C8" s="4" t="s">
        <v>49</v>
      </c>
      <c r="D8" s="4"/>
      <c r="E8" s="4"/>
      <c r="F8" s="4"/>
      <c r="G8" s="4"/>
      <c r="H8" s="4"/>
      <c r="I8" s="4"/>
      <c r="J8" s="4"/>
      <c r="K8" s="4"/>
      <c r="L8" s="4"/>
    </row>
    <row r="10" ht="15.75" spans="1:12">
      <c r="A10" s="10" t="s">
        <v>52</v>
      </c>
    </row>
    <row r="11" ht="15.75" spans="1:12">
      <c r="A11" s="10" t="s">
        <v>53</v>
      </c>
    </row>
    <row r="12" ht="15.75" spans="1:12">
      <c r="A12" s="10" t="s">
        <v>54</v>
      </c>
    </row>
    <row r="16" ht="21" customHeight="1"/>
  </sheetData>
  <mergeCells count="1">
    <mergeCell ref="A1:L1"/>
  </mergeCells>
  <hyperlinks>
    <hyperlink ref="I2" r:id="rId2" display="SIL@HFT=0"/>
  </hyperlink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FMEDA</vt:lpstr>
      <vt:lpstr>失效率数据表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ms.Nanjing T</dc:creator>
  <cp:lastModifiedBy>王金星</cp:lastModifiedBy>
  <dcterms:created xsi:type="dcterms:W3CDTF">2023-05-15T19:15:00Z</dcterms:created>
  <dcterms:modified xsi:type="dcterms:W3CDTF">2026-07-16T09:34:36Z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73C8DF4CD8994FD686BF9449378FD010_12</vt:lpwstr>
  </property>
  <property fmtid="{D5CDD505-2E9C-101B-9397-08002B2CF9AE}" pid="4" name="CalculationRule">
    <vt:i4>0</vt:i4>
  </property>
</Properties>
</file>